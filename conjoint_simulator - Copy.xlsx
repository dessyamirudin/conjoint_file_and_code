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dessy_amirudin_unilever_com/Documents/Documents/0. Personal/Blog/Conjoint Analysis/conjoint_file_and_code/"/>
    </mc:Choice>
  </mc:AlternateContent>
  <xr:revisionPtr revIDLastSave="46" documentId="11_F25DC773A252ABDACC10484E911840C25BDE58EC" xr6:coauthVersionLast="47" xr6:coauthVersionMax="47" xr10:uidLastSave="{2F2B92D6-8BC9-4487-A033-12C67076C225}"/>
  <bookViews>
    <workbookView xWindow="-108" yWindow="-108" windowWidth="23256" windowHeight="13896" activeTab="1" xr2:uid="{00000000-000D-0000-FFFF-FFFF00000000}"/>
  </bookViews>
  <sheets>
    <sheet name="Sheet1" sheetId="1" r:id="rId1"/>
    <sheet name="Segment" sheetId="2" r:id="rId2"/>
    <sheet name="Profile" sheetId="3" r:id="rId3"/>
    <sheet name="Market Share" sheetId="4" r:id="rId4"/>
  </sheets>
  <definedNames>
    <definedName name="Alpha">Sheet1!$M$1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M19" i="1"/>
  <c r="L19" i="1"/>
  <c r="O19" i="1" s="1"/>
  <c r="N18" i="1"/>
  <c r="M18" i="1"/>
  <c r="L18" i="1"/>
  <c r="O18" i="1" s="1"/>
  <c r="N17" i="1"/>
  <c r="M17" i="1"/>
  <c r="L17" i="1"/>
  <c r="O17" i="1" s="1"/>
  <c r="N16" i="1"/>
  <c r="M16" i="1"/>
  <c r="L16" i="1"/>
  <c r="O16" i="1" s="1"/>
  <c r="N15" i="1"/>
  <c r="M15" i="1"/>
  <c r="L15" i="1"/>
  <c r="N14" i="1"/>
  <c r="M14" i="1"/>
  <c r="L14" i="1"/>
  <c r="O14" i="1" s="1"/>
  <c r="N13" i="1"/>
  <c r="M13" i="1"/>
  <c r="L13" i="1"/>
  <c r="O13" i="1" s="1"/>
  <c r="N12" i="1"/>
  <c r="M12" i="1"/>
  <c r="L12" i="1"/>
  <c r="O12" i="1" s="1"/>
  <c r="N11" i="1"/>
  <c r="M11" i="1"/>
  <c r="L11" i="1"/>
  <c r="O11" i="1" s="1"/>
  <c r="N10" i="1"/>
  <c r="M10" i="1"/>
  <c r="L10" i="1"/>
  <c r="O10" i="1" s="1"/>
  <c r="N9" i="1"/>
  <c r="M9" i="1"/>
  <c r="L9" i="1"/>
  <c r="O9" i="1" s="1"/>
  <c r="N8" i="1"/>
  <c r="M8" i="1"/>
  <c r="L8" i="1"/>
  <c r="N7" i="1"/>
  <c r="Q7" i="1" s="1"/>
  <c r="M7" i="1"/>
  <c r="L7" i="1"/>
  <c r="O7" i="1" s="1"/>
  <c r="N6" i="1"/>
  <c r="M6" i="1"/>
  <c r="L6" i="1"/>
  <c r="O6" i="1" s="1"/>
  <c r="Q11" i="1" l="1"/>
  <c r="P7" i="1"/>
  <c r="P11" i="1"/>
  <c r="P12" i="1"/>
  <c r="P13" i="1"/>
  <c r="P14" i="1"/>
  <c r="P18" i="1"/>
  <c r="P16" i="1"/>
  <c r="Q16" i="1"/>
  <c r="Q8" i="1"/>
  <c r="Q12" i="1"/>
  <c r="P9" i="1"/>
  <c r="P17" i="1"/>
  <c r="Q9" i="1"/>
  <c r="Q13" i="1"/>
  <c r="Q17" i="1"/>
  <c r="Q14" i="1"/>
  <c r="Q18" i="1"/>
  <c r="P6" i="1"/>
  <c r="P10" i="1"/>
  <c r="Q6" i="1"/>
  <c r="Q10" i="1"/>
  <c r="P19" i="1"/>
  <c r="Q15" i="1"/>
  <c r="Q19" i="1"/>
  <c r="O8" i="1"/>
  <c r="O15" i="1"/>
  <c r="P8" i="1"/>
  <c r="P15" i="1"/>
  <c r="Q4" i="1" l="1"/>
  <c r="Q2" i="1" s="1"/>
  <c r="O4" i="1"/>
  <c r="O2" i="1" s="1"/>
  <c r="P4" i="1"/>
  <c r="P2" i="1" s="1"/>
  <c r="R2" i="1" s="1"/>
</calcChain>
</file>

<file path=xl/sharedStrings.xml><?xml version="1.0" encoding="utf-8"?>
<sst xmlns="http://schemas.openxmlformats.org/spreadsheetml/2006/main" count="63" uniqueCount="37">
  <si>
    <t>Current share</t>
  </si>
  <si>
    <t>A</t>
  </si>
  <si>
    <t>B</t>
  </si>
  <si>
    <t>Brand 1</t>
  </si>
  <si>
    <t>Brand 2</t>
  </si>
  <si>
    <t>1.19?</t>
  </si>
  <si>
    <t>1.39?</t>
  </si>
  <si>
    <t>Approved?</t>
  </si>
  <si>
    <t>Guarantee?</t>
  </si>
  <si>
    <t>Alpha</t>
  </si>
  <si>
    <t>SSE</t>
  </si>
  <si>
    <t>Our brand</t>
  </si>
  <si>
    <t>Squared Error</t>
  </si>
  <si>
    <t>Comp 1</t>
  </si>
  <si>
    <t>Actual Share</t>
  </si>
  <si>
    <t>Comp 2</t>
  </si>
  <si>
    <t>Predicted Share</t>
  </si>
  <si>
    <t>Segment</t>
  </si>
  <si>
    <t>Size(000)</t>
  </si>
  <si>
    <t>Intercept</t>
  </si>
  <si>
    <t>Our Brand Score</t>
  </si>
  <si>
    <t>Comp 1 score</t>
  </si>
  <si>
    <t>Comp 2 Score</t>
  </si>
  <si>
    <t>Our share</t>
  </si>
  <si>
    <t>Comp 1 share</t>
  </si>
  <si>
    <t>Comp 2 Share</t>
  </si>
  <si>
    <t>Brand_1</t>
  </si>
  <si>
    <t>Brand_2</t>
  </si>
  <si>
    <t>Price_1.99</t>
  </si>
  <si>
    <t>Price_1.39</t>
  </si>
  <si>
    <t>Approved</t>
  </si>
  <si>
    <t>Guarantee</t>
  </si>
  <si>
    <t>Basic</t>
  </si>
  <si>
    <t>Brand</t>
  </si>
  <si>
    <t>Our_brand</t>
  </si>
  <si>
    <t>Comp_1</t>
  </si>
  <si>
    <t>Comp_2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</si>
</sst>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2" borderId="0" xfId="0" applyFont="1" applyFill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sqref="A1:K4"/>
    </sheetView>
  </sheetViews>
  <sheetFormatPr defaultRowHeight="14.4" x14ac:dyDescent="0.3"/>
  <cols>
    <col min="2" max="2" width="10" bestFit="1" customWidth="1"/>
    <col min="11" max="11" width="11.21875" bestFit="1" customWidth="1"/>
  </cols>
  <sheetData>
    <row r="1" spans="1:18" x14ac:dyDescent="0.3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3">
        <v>2.0756031147390361</v>
      </c>
      <c r="N1" s="1"/>
      <c r="O1" s="1"/>
      <c r="P1" s="1"/>
      <c r="Q1" s="1"/>
      <c r="R1" s="1" t="s">
        <v>10</v>
      </c>
    </row>
    <row r="2" spans="1:18" ht="27" x14ac:dyDescent="0.3">
      <c r="A2" s="1">
        <v>0.3</v>
      </c>
      <c r="B2" s="1" t="s">
        <v>11</v>
      </c>
      <c r="C2" s="1"/>
      <c r="D2" s="1">
        <v>1</v>
      </c>
      <c r="E2" s="1">
        <v>0</v>
      </c>
      <c r="F2" s="1">
        <v>1</v>
      </c>
      <c r="G2" s="1">
        <v>0</v>
      </c>
      <c r="H2" s="1">
        <v>1</v>
      </c>
      <c r="I2" s="1">
        <v>0</v>
      </c>
      <c r="J2" s="1">
        <v>0</v>
      </c>
      <c r="K2" s="1">
        <v>0</v>
      </c>
      <c r="L2" s="1"/>
      <c r="M2" s="1"/>
      <c r="N2" s="4" t="s">
        <v>12</v>
      </c>
      <c r="O2" s="1">
        <f>(O4-O3)^2</f>
        <v>1.9271749315769369E-3</v>
      </c>
      <c r="P2" s="1">
        <f>(P4-P3)^2</f>
        <v>3.5191732649698471E-4</v>
      </c>
      <c r="Q2" s="1">
        <f>(Q4-Q3)^2</f>
        <v>6.3202668607921465E-4</v>
      </c>
      <c r="R2" s="1">
        <f>SUM(O2:Q2)</f>
        <v>2.9111189441531362E-3</v>
      </c>
    </row>
    <row r="3" spans="1:18" ht="27" x14ac:dyDescent="0.3">
      <c r="A3" s="1">
        <v>0.5</v>
      </c>
      <c r="B3" s="1" t="s">
        <v>13</v>
      </c>
      <c r="C3" s="1"/>
      <c r="D3" s="1">
        <v>0</v>
      </c>
      <c r="E3" s="1">
        <v>1</v>
      </c>
      <c r="F3" s="1">
        <v>0</v>
      </c>
      <c r="G3" s="1">
        <v>1</v>
      </c>
      <c r="H3" s="1">
        <v>0</v>
      </c>
      <c r="I3" s="1">
        <v>1</v>
      </c>
      <c r="J3" s="1">
        <v>1</v>
      </c>
      <c r="K3" s="1">
        <v>0</v>
      </c>
      <c r="L3" s="1"/>
      <c r="M3" s="1"/>
      <c r="N3" s="4" t="s">
        <v>14</v>
      </c>
      <c r="O3" s="1">
        <v>0.3</v>
      </c>
      <c r="P3" s="1">
        <v>0.5</v>
      </c>
      <c r="Q3" s="1">
        <v>0.2</v>
      </c>
      <c r="R3" s="1"/>
    </row>
    <row r="4" spans="1:18" ht="27" x14ac:dyDescent="0.3">
      <c r="A4" s="1">
        <v>0.2</v>
      </c>
      <c r="B4" s="1" t="s">
        <v>15</v>
      </c>
      <c r="C4" s="1"/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/>
      <c r="M4" s="1"/>
      <c r="N4" s="4" t="s">
        <v>16</v>
      </c>
      <c r="O4" s="1">
        <f>SUMPRODUCT(O6:O19,$B$6:$B$19)/SUM($B$6:$B$19)</f>
        <v>0.34389960058561964</v>
      </c>
      <c r="P4" s="1">
        <f>SUMPRODUCT(P6:P19,$B$6:$B$19)/SUM($B$6:$B$19)</f>
        <v>0.48124054034634833</v>
      </c>
      <c r="Q4" s="1">
        <f>SUMPRODUCT(Q6:Q19,$B$6:$B$19)/SUM($B$6:$B$19)</f>
        <v>0.17485985906803198</v>
      </c>
      <c r="R4" s="1"/>
    </row>
    <row r="5" spans="1:18" ht="40.200000000000003" x14ac:dyDescent="0.3">
      <c r="A5" s="1" t="s">
        <v>17</v>
      </c>
      <c r="B5" s="1" t="s">
        <v>18</v>
      </c>
      <c r="C5" s="1" t="s">
        <v>19</v>
      </c>
      <c r="D5" s="1" t="s">
        <v>1</v>
      </c>
      <c r="E5" s="1" t="s">
        <v>2</v>
      </c>
      <c r="F5" s="1" t="s">
        <v>3</v>
      </c>
      <c r="G5" s="1" t="s">
        <v>4</v>
      </c>
      <c r="H5" s="2" t="s">
        <v>5</v>
      </c>
      <c r="I5" s="2" t="s">
        <v>6</v>
      </c>
      <c r="J5" s="1" t="s">
        <v>7</v>
      </c>
      <c r="K5" s="1" t="s">
        <v>8</v>
      </c>
      <c r="L5" s="4" t="s">
        <v>20</v>
      </c>
      <c r="M5" s="4" t="s">
        <v>21</v>
      </c>
      <c r="N5" s="4" t="s">
        <v>22</v>
      </c>
      <c r="O5" s="4" t="s">
        <v>23</v>
      </c>
      <c r="P5" s="4" t="s">
        <v>24</v>
      </c>
      <c r="Q5" s="4" t="s">
        <v>25</v>
      </c>
      <c r="R5" s="1"/>
    </row>
    <row r="6" spans="1:18" x14ac:dyDescent="0.3">
      <c r="A6" s="1">
        <v>1</v>
      </c>
      <c r="B6" s="1">
        <v>10</v>
      </c>
      <c r="C6" s="1">
        <v>4.83</v>
      </c>
      <c r="D6" s="1">
        <v>-4.5</v>
      </c>
      <c r="E6" s="1">
        <v>3.5</v>
      </c>
      <c r="F6" s="1">
        <v>-1.5</v>
      </c>
      <c r="G6" s="1">
        <v>-2</v>
      </c>
      <c r="H6" s="1">
        <v>7.67</v>
      </c>
      <c r="I6" s="1">
        <v>4.83</v>
      </c>
      <c r="J6" s="1">
        <v>1.5</v>
      </c>
      <c r="K6" s="1">
        <v>4.5</v>
      </c>
      <c r="L6" s="1">
        <f>SUMPRODUCT($D$2:$K$2,D6:K6)+C6</f>
        <v>6.5</v>
      </c>
      <c r="M6" s="1">
        <f>C6+SUMPRODUCT($D$3:$K$3,D6:K6)</f>
        <v>12.66</v>
      </c>
      <c r="N6" s="1">
        <f>C6+SUMPRODUCT($D$4:$K$4,D6:K6)</f>
        <v>9.33</v>
      </c>
      <c r="O6" s="1">
        <f>L6^Alpha/($L6^Alpha+$M6^Alpha+$N6^Alpha)</f>
        <v>0.14070625657725214</v>
      </c>
      <c r="P6" s="1">
        <f>M6^Alpha/($L6^Alpha+$M6^Alpha+$N6^Alpha)</f>
        <v>0.56136165931102555</v>
      </c>
      <c r="Q6" s="1">
        <f>N6^Alpha/($L6^Alpha+$M6^Alpha+$N6^Alpha)</f>
        <v>0.29793208411172217</v>
      </c>
      <c r="R6" s="1"/>
    </row>
    <row r="7" spans="1:18" x14ac:dyDescent="0.3">
      <c r="A7" s="1">
        <v>2</v>
      </c>
      <c r="B7" s="1">
        <v>15</v>
      </c>
      <c r="C7" s="1">
        <v>2</v>
      </c>
      <c r="D7" s="1">
        <v>-6</v>
      </c>
      <c r="E7" s="1">
        <v>5</v>
      </c>
      <c r="F7" s="1">
        <v>1</v>
      </c>
      <c r="G7" s="1">
        <v>2</v>
      </c>
      <c r="H7" s="1">
        <v>9</v>
      </c>
      <c r="I7" s="1">
        <v>6</v>
      </c>
      <c r="J7" s="1">
        <v>2</v>
      </c>
      <c r="K7" s="1">
        <v>3</v>
      </c>
      <c r="L7" s="1">
        <f t="shared" ref="L7:L19" si="0">SUMPRODUCT($D$2:$K$2,D7:K7)+C7</f>
        <v>6</v>
      </c>
      <c r="M7" s="1">
        <f t="shared" ref="M7:M19" si="1">C7+SUMPRODUCT($D$3:$K$3,D7:K7)</f>
        <v>17</v>
      </c>
      <c r="N7" s="1">
        <f t="shared" ref="N7:N19" si="2">C7+SUMPRODUCT($D$4:$K$4,D7:K7)</f>
        <v>5</v>
      </c>
      <c r="O7" s="1">
        <f t="shared" ref="O7:O19" si="3">L7^Alpha/($L7^Alpha+$M7^Alpha+$N7^Alpha)</f>
        <v>9.6428756706668783E-2</v>
      </c>
      <c r="P7" s="1">
        <f t="shared" ref="P7:P19" si="4">M7^Alpha/($L7^Alpha+$M7^Alpha+$N7^Alpha)</f>
        <v>0.83752353907983823</v>
      </c>
      <c r="Q7" s="1">
        <f t="shared" ref="Q7:Q19" si="5">N7^Alpha/($L7^Alpha+$M7^Alpha+$N7^Alpha)</f>
        <v>6.6047704213493014E-2</v>
      </c>
      <c r="R7" s="1"/>
    </row>
    <row r="8" spans="1:18" x14ac:dyDescent="0.3">
      <c r="A8" s="1">
        <v>3</v>
      </c>
      <c r="B8" s="1">
        <v>20</v>
      </c>
      <c r="C8" s="1">
        <v>5</v>
      </c>
      <c r="D8" s="1">
        <v>-2</v>
      </c>
      <c r="E8" s="1">
        <v>2</v>
      </c>
      <c r="F8" s="1">
        <v>-4</v>
      </c>
      <c r="G8" s="1">
        <v>-6</v>
      </c>
      <c r="H8" s="1">
        <v>8</v>
      </c>
      <c r="I8" s="1">
        <v>5</v>
      </c>
      <c r="J8" s="1">
        <v>3</v>
      </c>
      <c r="K8" s="1">
        <v>5</v>
      </c>
      <c r="L8" s="1">
        <f t="shared" si="0"/>
        <v>7</v>
      </c>
      <c r="M8" s="1">
        <f t="shared" si="1"/>
        <v>9</v>
      </c>
      <c r="N8" s="1">
        <f t="shared" si="2"/>
        <v>10</v>
      </c>
      <c r="O8" s="1">
        <f t="shared" si="3"/>
        <v>0.20914520581009396</v>
      </c>
      <c r="P8" s="1">
        <f t="shared" si="4"/>
        <v>0.35236155223600474</v>
      </c>
      <c r="Q8" s="1">
        <f t="shared" si="5"/>
        <v>0.43849324195390132</v>
      </c>
      <c r="R8" s="1"/>
    </row>
    <row r="9" spans="1:18" x14ac:dyDescent="0.3">
      <c r="A9" s="1">
        <v>4</v>
      </c>
      <c r="B9" s="1">
        <v>12</v>
      </c>
      <c r="C9" s="1">
        <v>2</v>
      </c>
      <c r="D9" s="1">
        <v>4</v>
      </c>
      <c r="E9" s="1">
        <v>1</v>
      </c>
      <c r="F9" s="1">
        <v>4</v>
      </c>
      <c r="G9" s="1">
        <v>2</v>
      </c>
      <c r="H9" s="1">
        <v>7</v>
      </c>
      <c r="I9" s="1">
        <v>4</v>
      </c>
      <c r="J9" s="1">
        <v>1</v>
      </c>
      <c r="K9" s="1">
        <v>4</v>
      </c>
      <c r="L9" s="1">
        <f t="shared" si="0"/>
        <v>17</v>
      </c>
      <c r="M9" s="1">
        <f t="shared" si="1"/>
        <v>10</v>
      </c>
      <c r="N9" s="1">
        <f t="shared" si="2"/>
        <v>6</v>
      </c>
      <c r="O9" s="1">
        <f t="shared" si="3"/>
        <v>0.6908225544042873</v>
      </c>
      <c r="P9" s="1">
        <f t="shared" si="4"/>
        <v>0.22963919154339249</v>
      </c>
      <c r="Q9" s="1">
        <f t="shared" si="5"/>
        <v>7.9538254052320165E-2</v>
      </c>
      <c r="R9" s="1"/>
    </row>
    <row r="10" spans="1:18" x14ac:dyDescent="0.3">
      <c r="A10" s="1">
        <v>5</v>
      </c>
      <c r="B10" s="1">
        <v>22</v>
      </c>
      <c r="C10" s="1">
        <v>4.7</v>
      </c>
      <c r="D10" s="1">
        <v>1</v>
      </c>
      <c r="E10" s="1">
        <v>4</v>
      </c>
      <c r="F10" s="1">
        <v>3</v>
      </c>
      <c r="G10" s="1">
        <v>2</v>
      </c>
      <c r="H10" s="1">
        <v>6</v>
      </c>
      <c r="I10" s="1">
        <v>4</v>
      </c>
      <c r="J10" s="1">
        <v>2</v>
      </c>
      <c r="K10" s="1">
        <v>2</v>
      </c>
      <c r="L10" s="1">
        <f t="shared" si="0"/>
        <v>14.7</v>
      </c>
      <c r="M10" s="1">
        <f t="shared" si="1"/>
        <v>16.7</v>
      </c>
      <c r="N10" s="1">
        <f t="shared" si="2"/>
        <v>6.7</v>
      </c>
      <c r="O10" s="1">
        <f t="shared" si="3"/>
        <v>0.40017879731145944</v>
      </c>
      <c r="P10" s="1">
        <f t="shared" si="4"/>
        <v>0.5214836477520699</v>
      </c>
      <c r="Q10" s="1">
        <f t="shared" si="5"/>
        <v>7.8337554936470544E-2</v>
      </c>
      <c r="R10" s="1"/>
    </row>
    <row r="11" spans="1:18" x14ac:dyDescent="0.3">
      <c r="A11" s="1">
        <v>6</v>
      </c>
      <c r="B11" s="1">
        <v>14</v>
      </c>
      <c r="C11" s="1">
        <v>9</v>
      </c>
      <c r="D11" s="1">
        <v>-6</v>
      </c>
      <c r="E11" s="1">
        <v>-4</v>
      </c>
      <c r="F11" s="1">
        <v>2</v>
      </c>
      <c r="G11" s="1">
        <v>1</v>
      </c>
      <c r="H11" s="1">
        <v>5</v>
      </c>
      <c r="I11" s="1">
        <v>3</v>
      </c>
      <c r="J11" s="1">
        <v>2</v>
      </c>
      <c r="K11" s="1">
        <v>3</v>
      </c>
      <c r="L11" s="1">
        <f t="shared" si="0"/>
        <v>10</v>
      </c>
      <c r="M11" s="1">
        <f t="shared" si="1"/>
        <v>11</v>
      </c>
      <c r="N11" s="1">
        <f t="shared" si="2"/>
        <v>12</v>
      </c>
      <c r="O11" s="1">
        <f t="shared" si="3"/>
        <v>0.27183242915261707</v>
      </c>
      <c r="P11" s="1">
        <f t="shared" si="4"/>
        <v>0.33129589320343089</v>
      </c>
      <c r="Q11" s="1">
        <f t="shared" si="5"/>
        <v>0.39687167764395187</v>
      </c>
      <c r="R11" s="1"/>
    </row>
    <row r="12" spans="1:18" x14ac:dyDescent="0.3">
      <c r="A12" s="1">
        <v>7</v>
      </c>
      <c r="B12" s="1">
        <v>10</v>
      </c>
      <c r="C12" s="1">
        <v>8</v>
      </c>
      <c r="D12" s="1">
        <v>1</v>
      </c>
      <c r="E12" s="1">
        <v>3</v>
      </c>
      <c r="F12" s="1">
        <v>0</v>
      </c>
      <c r="G12" s="1">
        <v>-2</v>
      </c>
      <c r="H12" s="1">
        <v>4</v>
      </c>
      <c r="I12" s="1">
        <v>3</v>
      </c>
      <c r="J12" s="1">
        <v>1</v>
      </c>
      <c r="K12" s="1">
        <v>2</v>
      </c>
      <c r="L12" s="1">
        <f t="shared" si="0"/>
        <v>13</v>
      </c>
      <c r="M12" s="1">
        <f t="shared" si="1"/>
        <v>13</v>
      </c>
      <c r="N12" s="1">
        <f t="shared" si="2"/>
        <v>10</v>
      </c>
      <c r="O12" s="1">
        <f t="shared" si="3"/>
        <v>0.38758268779262672</v>
      </c>
      <c r="P12" s="1">
        <f t="shared" si="4"/>
        <v>0.38758268779262672</v>
      </c>
      <c r="Q12" s="1">
        <f t="shared" si="5"/>
        <v>0.2248346244147465</v>
      </c>
      <c r="R12" s="1"/>
    </row>
    <row r="13" spans="1:18" x14ac:dyDescent="0.3">
      <c r="A13" s="1">
        <v>8</v>
      </c>
      <c r="B13" s="1">
        <v>15</v>
      </c>
      <c r="C13" s="1">
        <v>2</v>
      </c>
      <c r="D13" s="1">
        <v>4</v>
      </c>
      <c r="E13" s="1">
        <v>-3</v>
      </c>
      <c r="F13" s="1">
        <v>5</v>
      </c>
      <c r="G13" s="1">
        <v>-3</v>
      </c>
      <c r="H13" s="1">
        <v>9</v>
      </c>
      <c r="I13" s="1">
        <v>7</v>
      </c>
      <c r="J13" s="1">
        <v>2</v>
      </c>
      <c r="K13" s="1">
        <v>1</v>
      </c>
      <c r="L13" s="1">
        <f t="shared" si="0"/>
        <v>20</v>
      </c>
      <c r="M13" s="1">
        <f t="shared" si="1"/>
        <v>5</v>
      </c>
      <c r="N13" s="1">
        <f t="shared" si="2"/>
        <v>3</v>
      </c>
      <c r="O13" s="1">
        <f t="shared" si="3"/>
        <v>0.92956267124724201</v>
      </c>
      <c r="P13" s="1">
        <f t="shared" si="4"/>
        <v>5.2316789143831928E-2</v>
      </c>
      <c r="Q13" s="1">
        <f t="shared" si="5"/>
        <v>1.8120539608925935E-2</v>
      </c>
      <c r="R13" s="1"/>
    </row>
    <row r="14" spans="1:18" x14ac:dyDescent="0.3">
      <c r="A14" s="1">
        <v>9</v>
      </c>
      <c r="B14" s="1">
        <v>8</v>
      </c>
      <c r="C14" s="1">
        <v>2</v>
      </c>
      <c r="D14" s="1">
        <v>-2</v>
      </c>
      <c r="E14" s="1">
        <v>4</v>
      </c>
      <c r="F14" s="1">
        <v>2</v>
      </c>
      <c r="G14" s="1">
        <v>5</v>
      </c>
      <c r="H14" s="1">
        <v>7</v>
      </c>
      <c r="I14" s="1">
        <v>4</v>
      </c>
      <c r="J14" s="1">
        <v>3</v>
      </c>
      <c r="K14" s="1">
        <v>4</v>
      </c>
      <c r="L14" s="1">
        <f t="shared" si="0"/>
        <v>9</v>
      </c>
      <c r="M14" s="1">
        <f t="shared" si="1"/>
        <v>18</v>
      </c>
      <c r="N14" s="1">
        <f t="shared" si="2"/>
        <v>6</v>
      </c>
      <c r="O14" s="1">
        <f t="shared" si="3"/>
        <v>0.17710923717176494</v>
      </c>
      <c r="P14" s="1">
        <f t="shared" si="4"/>
        <v>0.74655190694651297</v>
      </c>
      <c r="Q14" s="1">
        <f t="shared" si="5"/>
        <v>7.6338855881722054E-2</v>
      </c>
      <c r="R14" s="1"/>
    </row>
    <row r="15" spans="1:18" x14ac:dyDescent="0.3">
      <c r="A15" s="1">
        <v>10</v>
      </c>
      <c r="B15" s="1">
        <v>12</v>
      </c>
      <c r="C15" s="1">
        <v>7</v>
      </c>
      <c r="D15" s="1">
        <v>-4</v>
      </c>
      <c r="E15" s="1">
        <v>-2</v>
      </c>
      <c r="F15" s="1">
        <v>1</v>
      </c>
      <c r="G15" s="1">
        <v>3</v>
      </c>
      <c r="H15" s="1">
        <v>6</v>
      </c>
      <c r="I15" s="1">
        <v>4</v>
      </c>
      <c r="J15" s="1">
        <v>2</v>
      </c>
      <c r="K15" s="1">
        <v>2</v>
      </c>
      <c r="L15" s="1">
        <f t="shared" si="0"/>
        <v>10</v>
      </c>
      <c r="M15" s="1">
        <f t="shared" si="1"/>
        <v>14</v>
      </c>
      <c r="N15" s="1">
        <f t="shared" si="2"/>
        <v>9</v>
      </c>
      <c r="O15" s="1">
        <f t="shared" si="3"/>
        <v>0.26218695775459822</v>
      </c>
      <c r="P15" s="1">
        <f t="shared" si="4"/>
        <v>0.52712654911090007</v>
      </c>
      <c r="Q15" s="1">
        <f t="shared" si="5"/>
        <v>0.21068649313450172</v>
      </c>
      <c r="R15" s="1"/>
    </row>
    <row r="16" spans="1:18" x14ac:dyDescent="0.3">
      <c r="A16" s="1">
        <v>11</v>
      </c>
      <c r="B16" s="1">
        <v>9</v>
      </c>
      <c r="C16" s="1">
        <v>2</v>
      </c>
      <c r="D16" s="1">
        <v>1</v>
      </c>
      <c r="E16" s="1">
        <v>2</v>
      </c>
      <c r="F16" s="1">
        <v>2</v>
      </c>
      <c r="G16" s="1">
        <v>4</v>
      </c>
      <c r="H16" s="1">
        <v>8</v>
      </c>
      <c r="I16" s="1">
        <v>5</v>
      </c>
      <c r="J16" s="1">
        <v>4</v>
      </c>
      <c r="K16" s="1">
        <v>3</v>
      </c>
      <c r="L16" s="1">
        <f t="shared" si="0"/>
        <v>13</v>
      </c>
      <c r="M16" s="1">
        <f t="shared" si="1"/>
        <v>17</v>
      </c>
      <c r="N16" s="1">
        <f t="shared" si="2"/>
        <v>5</v>
      </c>
      <c r="O16" s="1">
        <f t="shared" si="3"/>
        <v>0.34689513960762142</v>
      </c>
      <c r="P16" s="1">
        <f t="shared" si="4"/>
        <v>0.60536531914450942</v>
      </c>
      <c r="Q16" s="1">
        <f t="shared" si="5"/>
        <v>4.7739541247869235E-2</v>
      </c>
      <c r="R16" s="1"/>
    </row>
    <row r="17" spans="1:18" x14ac:dyDescent="0.3">
      <c r="A17" s="1">
        <v>12</v>
      </c>
      <c r="B17" s="1">
        <v>11</v>
      </c>
      <c r="C17" s="1">
        <v>4.4000000000000004</v>
      </c>
      <c r="D17" s="1">
        <v>-6</v>
      </c>
      <c r="E17" s="1">
        <v>5</v>
      </c>
      <c r="F17" s="1">
        <v>-4</v>
      </c>
      <c r="G17" s="1">
        <v>-2</v>
      </c>
      <c r="H17" s="1">
        <v>6</v>
      </c>
      <c r="I17" s="1">
        <v>4</v>
      </c>
      <c r="J17" s="1">
        <v>5</v>
      </c>
      <c r="K17" s="1">
        <v>2</v>
      </c>
      <c r="L17" s="1">
        <f t="shared" si="0"/>
        <v>0.40000000000000036</v>
      </c>
      <c r="M17" s="1">
        <f t="shared" si="1"/>
        <v>16.399999999999999</v>
      </c>
      <c r="N17" s="1">
        <f t="shared" si="2"/>
        <v>6.4</v>
      </c>
      <c r="O17" s="1">
        <f t="shared" si="3"/>
        <v>3.9330324674549498E-4</v>
      </c>
      <c r="P17" s="1">
        <f t="shared" si="4"/>
        <v>0.87544068889100368</v>
      </c>
      <c r="Q17" s="1">
        <f t="shared" si="5"/>
        <v>0.12416600786225088</v>
      </c>
      <c r="R17" s="1"/>
    </row>
    <row r="18" spans="1:18" x14ac:dyDescent="0.3">
      <c r="A18" s="1">
        <v>13</v>
      </c>
      <c r="B18" s="1">
        <v>8</v>
      </c>
      <c r="C18" s="1">
        <v>7</v>
      </c>
      <c r="D18" s="1">
        <v>-4</v>
      </c>
      <c r="E18" s="1">
        <v>3</v>
      </c>
      <c r="F18" s="1">
        <v>-1</v>
      </c>
      <c r="G18" s="1">
        <v>3</v>
      </c>
      <c r="H18" s="1">
        <v>4</v>
      </c>
      <c r="I18" s="1">
        <v>3</v>
      </c>
      <c r="J18" s="1">
        <v>2</v>
      </c>
      <c r="K18" s="1">
        <v>3</v>
      </c>
      <c r="L18" s="1">
        <f t="shared" si="0"/>
        <v>6</v>
      </c>
      <c r="M18" s="1">
        <f t="shared" si="1"/>
        <v>18</v>
      </c>
      <c r="N18" s="1">
        <f t="shared" si="2"/>
        <v>10</v>
      </c>
      <c r="O18" s="1">
        <f t="shared" si="3"/>
        <v>7.3171075228021618E-2</v>
      </c>
      <c r="P18" s="1">
        <f t="shared" si="4"/>
        <v>0.71557275929629827</v>
      </c>
      <c r="Q18" s="1">
        <f t="shared" si="5"/>
        <v>0.21125616547568016</v>
      </c>
      <c r="R18" s="1"/>
    </row>
    <row r="19" spans="1:18" x14ac:dyDescent="0.3">
      <c r="A19" s="1">
        <v>14</v>
      </c>
      <c r="B19" s="1">
        <v>14</v>
      </c>
      <c r="C19" s="1">
        <v>2</v>
      </c>
      <c r="D19" s="1">
        <v>2</v>
      </c>
      <c r="E19" s="1">
        <v>2</v>
      </c>
      <c r="F19" s="1">
        <v>2</v>
      </c>
      <c r="G19" s="1">
        <v>-1</v>
      </c>
      <c r="H19" s="1">
        <v>8</v>
      </c>
      <c r="I19" s="1">
        <v>5</v>
      </c>
      <c r="J19" s="1">
        <v>3</v>
      </c>
      <c r="K19" s="1">
        <v>4</v>
      </c>
      <c r="L19" s="1">
        <f t="shared" si="0"/>
        <v>14</v>
      </c>
      <c r="M19" s="1">
        <f t="shared" si="1"/>
        <v>11</v>
      </c>
      <c r="N19" s="1">
        <f t="shared" si="2"/>
        <v>6</v>
      </c>
      <c r="O19" s="1">
        <f t="shared" si="3"/>
        <v>0.56228116713755294</v>
      </c>
      <c r="P19" s="1">
        <f t="shared" si="4"/>
        <v>0.34085095713870306</v>
      </c>
      <c r="Q19" s="1">
        <f t="shared" si="5"/>
        <v>9.686787572374396E-2</v>
      </c>
      <c r="R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BC53-EA52-415E-A8E8-3E788CA131B4}">
  <dimension ref="A1:K15"/>
  <sheetViews>
    <sheetView tabSelected="1" workbookViewId="0">
      <selection activeCell="D1" sqref="D1:K1"/>
    </sheetView>
  </sheetViews>
  <sheetFormatPr defaultRowHeight="14.4" x14ac:dyDescent="0.3"/>
  <cols>
    <col min="8" max="9" width="9.5546875" bestFit="1" customWidth="1"/>
    <col min="11" max="11" width="9.5546875" bestFit="1" customWidth="1"/>
  </cols>
  <sheetData>
    <row r="1" spans="1:11" x14ac:dyDescent="0.3">
      <c r="A1" t="s">
        <v>17</v>
      </c>
      <c r="B1" t="s">
        <v>18</v>
      </c>
      <c r="C1" t="s">
        <v>19</v>
      </c>
      <c r="D1" t="s">
        <v>1</v>
      </c>
      <c r="E1" t="s">
        <v>2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3">
      <c r="A2" s="5">
        <v>1</v>
      </c>
      <c r="B2">
        <v>10</v>
      </c>
      <c r="C2">
        <v>4.83</v>
      </c>
      <c r="D2">
        <v>-4.5</v>
      </c>
      <c r="E2">
        <v>3.5</v>
      </c>
      <c r="F2">
        <v>-1.5</v>
      </c>
      <c r="G2">
        <v>-2</v>
      </c>
      <c r="H2">
        <v>7.67</v>
      </c>
      <c r="I2">
        <v>4.83</v>
      </c>
      <c r="J2">
        <v>1.5</v>
      </c>
      <c r="K2">
        <v>4.5</v>
      </c>
    </row>
    <row r="3" spans="1:11" x14ac:dyDescent="0.3">
      <c r="A3" s="5">
        <v>2</v>
      </c>
      <c r="B3">
        <v>15</v>
      </c>
      <c r="C3">
        <v>2</v>
      </c>
      <c r="D3">
        <v>-6</v>
      </c>
      <c r="E3">
        <v>5</v>
      </c>
      <c r="F3">
        <v>1</v>
      </c>
      <c r="G3">
        <v>2</v>
      </c>
      <c r="H3">
        <v>9</v>
      </c>
      <c r="I3">
        <v>6</v>
      </c>
      <c r="J3">
        <v>2</v>
      </c>
      <c r="K3">
        <v>3</v>
      </c>
    </row>
    <row r="4" spans="1:11" x14ac:dyDescent="0.3">
      <c r="A4" s="5">
        <v>3</v>
      </c>
      <c r="B4">
        <v>20</v>
      </c>
      <c r="C4">
        <v>5</v>
      </c>
      <c r="D4">
        <v>-2</v>
      </c>
      <c r="E4">
        <v>2</v>
      </c>
      <c r="F4">
        <v>-4</v>
      </c>
      <c r="G4">
        <v>-6</v>
      </c>
      <c r="H4">
        <v>8</v>
      </c>
      <c r="I4">
        <v>5</v>
      </c>
      <c r="J4">
        <v>3</v>
      </c>
      <c r="K4">
        <v>5</v>
      </c>
    </row>
    <row r="5" spans="1:11" x14ac:dyDescent="0.3">
      <c r="A5" s="5">
        <v>4</v>
      </c>
      <c r="B5">
        <v>12</v>
      </c>
      <c r="C5">
        <v>2</v>
      </c>
      <c r="D5">
        <v>4</v>
      </c>
      <c r="E5">
        <v>1</v>
      </c>
      <c r="F5">
        <v>4</v>
      </c>
      <c r="G5">
        <v>2</v>
      </c>
      <c r="H5">
        <v>7</v>
      </c>
      <c r="I5">
        <v>4</v>
      </c>
      <c r="J5">
        <v>1</v>
      </c>
      <c r="K5">
        <v>4</v>
      </c>
    </row>
    <row r="6" spans="1:11" x14ac:dyDescent="0.3">
      <c r="A6" s="5">
        <v>5</v>
      </c>
      <c r="B6">
        <v>22</v>
      </c>
      <c r="C6">
        <v>4.7</v>
      </c>
      <c r="D6">
        <v>1</v>
      </c>
      <c r="E6">
        <v>4</v>
      </c>
      <c r="F6">
        <v>3</v>
      </c>
      <c r="G6">
        <v>2</v>
      </c>
      <c r="H6">
        <v>6</v>
      </c>
      <c r="I6">
        <v>4</v>
      </c>
      <c r="J6">
        <v>2</v>
      </c>
      <c r="K6">
        <v>2</v>
      </c>
    </row>
    <row r="7" spans="1:11" x14ac:dyDescent="0.3">
      <c r="A7" s="5">
        <v>6</v>
      </c>
      <c r="B7">
        <v>14</v>
      </c>
      <c r="C7">
        <v>9</v>
      </c>
      <c r="D7">
        <v>-6</v>
      </c>
      <c r="E7">
        <v>-4</v>
      </c>
      <c r="F7">
        <v>2</v>
      </c>
      <c r="G7">
        <v>1</v>
      </c>
      <c r="H7">
        <v>5</v>
      </c>
      <c r="I7">
        <v>3</v>
      </c>
      <c r="J7">
        <v>2</v>
      </c>
      <c r="K7">
        <v>3</v>
      </c>
    </row>
    <row r="8" spans="1:11" x14ac:dyDescent="0.3">
      <c r="A8" s="5">
        <v>7</v>
      </c>
      <c r="B8">
        <v>10</v>
      </c>
      <c r="C8">
        <v>8</v>
      </c>
      <c r="D8">
        <v>1</v>
      </c>
      <c r="E8">
        <v>3</v>
      </c>
      <c r="F8">
        <v>0</v>
      </c>
      <c r="G8">
        <v>-2</v>
      </c>
      <c r="H8">
        <v>4</v>
      </c>
      <c r="I8">
        <v>3</v>
      </c>
      <c r="J8">
        <v>1</v>
      </c>
      <c r="K8">
        <v>2</v>
      </c>
    </row>
    <row r="9" spans="1:11" x14ac:dyDescent="0.3">
      <c r="A9" s="5">
        <v>8</v>
      </c>
      <c r="B9">
        <v>15</v>
      </c>
      <c r="C9">
        <v>2</v>
      </c>
      <c r="D9">
        <v>4</v>
      </c>
      <c r="E9">
        <v>-3</v>
      </c>
      <c r="F9">
        <v>5</v>
      </c>
      <c r="G9">
        <v>-3</v>
      </c>
      <c r="H9">
        <v>9</v>
      </c>
      <c r="I9">
        <v>7</v>
      </c>
      <c r="J9">
        <v>2</v>
      </c>
      <c r="K9">
        <v>1</v>
      </c>
    </row>
    <row r="10" spans="1:11" x14ac:dyDescent="0.3">
      <c r="A10" s="5">
        <v>9</v>
      </c>
      <c r="B10">
        <v>8</v>
      </c>
      <c r="C10">
        <v>2</v>
      </c>
      <c r="D10">
        <v>-2</v>
      </c>
      <c r="E10">
        <v>4</v>
      </c>
      <c r="F10">
        <v>2</v>
      </c>
      <c r="G10">
        <v>5</v>
      </c>
      <c r="H10">
        <v>7</v>
      </c>
      <c r="I10">
        <v>4</v>
      </c>
      <c r="J10">
        <v>3</v>
      </c>
      <c r="K10">
        <v>4</v>
      </c>
    </row>
    <row r="11" spans="1:11" x14ac:dyDescent="0.3">
      <c r="A11" s="5">
        <v>10</v>
      </c>
      <c r="B11">
        <v>12</v>
      </c>
      <c r="C11">
        <v>7</v>
      </c>
      <c r="D11">
        <v>-4</v>
      </c>
      <c r="E11">
        <v>-2</v>
      </c>
      <c r="F11">
        <v>1</v>
      </c>
      <c r="G11">
        <v>3</v>
      </c>
      <c r="H11">
        <v>6</v>
      </c>
      <c r="I11">
        <v>4</v>
      </c>
      <c r="J11">
        <v>2</v>
      </c>
      <c r="K11">
        <v>2</v>
      </c>
    </row>
    <row r="12" spans="1:11" x14ac:dyDescent="0.3">
      <c r="A12" s="5">
        <v>11</v>
      </c>
      <c r="B12">
        <v>9</v>
      </c>
      <c r="C12">
        <v>2</v>
      </c>
      <c r="D12">
        <v>1</v>
      </c>
      <c r="E12">
        <v>2</v>
      </c>
      <c r="F12">
        <v>2</v>
      </c>
      <c r="G12">
        <v>4</v>
      </c>
      <c r="H12">
        <v>8</v>
      </c>
      <c r="I12">
        <v>5</v>
      </c>
      <c r="J12">
        <v>4</v>
      </c>
      <c r="K12">
        <v>3</v>
      </c>
    </row>
    <row r="13" spans="1:11" x14ac:dyDescent="0.3">
      <c r="A13" s="5">
        <v>12</v>
      </c>
      <c r="B13">
        <v>11</v>
      </c>
      <c r="C13">
        <v>4.4000000000000004</v>
      </c>
      <c r="D13">
        <v>-6</v>
      </c>
      <c r="E13">
        <v>5</v>
      </c>
      <c r="F13">
        <v>-4</v>
      </c>
      <c r="G13">
        <v>-2</v>
      </c>
      <c r="H13">
        <v>6</v>
      </c>
      <c r="I13">
        <v>4</v>
      </c>
      <c r="J13">
        <v>5</v>
      </c>
      <c r="K13">
        <v>2</v>
      </c>
    </row>
    <row r="14" spans="1:11" x14ac:dyDescent="0.3">
      <c r="A14" s="5">
        <v>13</v>
      </c>
      <c r="B14">
        <v>8</v>
      </c>
      <c r="C14">
        <v>7</v>
      </c>
      <c r="D14">
        <v>-4</v>
      </c>
      <c r="E14">
        <v>3</v>
      </c>
      <c r="F14">
        <v>-1</v>
      </c>
      <c r="G14">
        <v>3</v>
      </c>
      <c r="H14">
        <v>4</v>
      </c>
      <c r="I14">
        <v>3</v>
      </c>
      <c r="J14">
        <v>2</v>
      </c>
      <c r="K14">
        <v>3</v>
      </c>
    </row>
    <row r="15" spans="1:11" x14ac:dyDescent="0.3">
      <c r="A15" s="5">
        <v>14</v>
      </c>
      <c r="B15">
        <v>14</v>
      </c>
      <c r="C15">
        <v>2</v>
      </c>
      <c r="D15">
        <v>2</v>
      </c>
      <c r="E15">
        <v>2</v>
      </c>
      <c r="F15">
        <v>2</v>
      </c>
      <c r="G15">
        <v>-1</v>
      </c>
      <c r="H15">
        <v>8</v>
      </c>
      <c r="I15">
        <v>5</v>
      </c>
      <c r="J15">
        <v>3</v>
      </c>
      <c r="K1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54E4-EA19-4E28-9D19-662A8C0DE119}">
  <dimension ref="A1:J4"/>
  <sheetViews>
    <sheetView workbookViewId="0">
      <selection activeCell="A2" sqref="A2:A4"/>
    </sheetView>
  </sheetViews>
  <sheetFormatPr defaultRowHeight="14.4" x14ac:dyDescent="0.3"/>
  <cols>
    <col min="1" max="1" width="9.6640625" bestFit="1" customWidth="1"/>
    <col min="8" max="8" width="9.5546875" bestFit="1" customWidth="1"/>
    <col min="9" max="9" width="8.77734375" bestFit="1" customWidth="1"/>
    <col min="10" max="10" width="9.5546875" bestFit="1" customWidth="1"/>
  </cols>
  <sheetData>
    <row r="1" spans="1:10" x14ac:dyDescent="0.3">
      <c r="A1" t="s">
        <v>33</v>
      </c>
      <c r="B1" t="s">
        <v>32</v>
      </c>
      <c r="C1" t="s">
        <v>1</v>
      </c>
      <c r="D1" t="s">
        <v>2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3">
      <c r="A2" t="s">
        <v>34</v>
      </c>
      <c r="B2">
        <v>1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</row>
    <row r="3" spans="1:10" x14ac:dyDescent="0.3">
      <c r="A3" t="s">
        <v>35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0</v>
      </c>
    </row>
    <row r="4" spans="1:10" x14ac:dyDescent="0.3">
      <c r="A4" t="s">
        <v>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ED58-A48F-4AFC-AF81-BE4737D2E3E4}">
  <dimension ref="A1:B4"/>
  <sheetViews>
    <sheetView workbookViewId="0">
      <selection activeCell="F14" sqref="F14"/>
    </sheetView>
  </sheetViews>
  <sheetFormatPr defaultRowHeight="14.4" x14ac:dyDescent="0.3"/>
  <cols>
    <col min="1" max="1" width="9.109375" bestFit="1" customWidth="1"/>
    <col min="2" max="2" width="12" bestFit="1" customWidth="1"/>
  </cols>
  <sheetData>
    <row r="1" spans="1:2" x14ac:dyDescent="0.3">
      <c r="A1" t="s">
        <v>33</v>
      </c>
      <c r="B1" t="s">
        <v>0</v>
      </c>
    </row>
    <row r="2" spans="1:2" x14ac:dyDescent="0.3">
      <c r="A2" t="s">
        <v>34</v>
      </c>
      <c r="B2">
        <v>0.3</v>
      </c>
    </row>
    <row r="3" spans="1:2" x14ac:dyDescent="0.3">
      <c r="A3" t="s">
        <v>35</v>
      </c>
      <c r="B3">
        <v>0.5</v>
      </c>
    </row>
    <row r="4" spans="1:2" x14ac:dyDescent="0.3">
      <c r="A4" t="s">
        <v>36</v>
      </c>
      <c r="B4">
        <v>0.2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Segment</vt:lpstr>
      <vt:lpstr>Profile</vt:lpstr>
      <vt:lpstr>Market Share</vt:lpstr>
      <vt:lpstr>Alpha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Amirudin, Dessy</dc:creator>
  <cp:lastModifiedBy>Amirudin, Dessy</cp:lastModifiedBy>
  <dcterms:created xsi:type="dcterms:W3CDTF">2015-06-05T18:17:20Z</dcterms:created>
  <dcterms:modified xsi:type="dcterms:W3CDTF">2025-12-07T09:06:58Z</dcterms:modified>
</cp:coreProperties>
</file>